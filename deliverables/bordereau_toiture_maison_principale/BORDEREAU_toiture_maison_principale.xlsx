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eau toiture" sheetId="1" state="visible" r:id="rId1"/>
  </sheets>
  <definedNames>
    <definedName name="_xlnm.Print_Titles" localSheetId="0">'Bordereau toiture'!$8:$8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b val="1"/>
      <sz val="13"/>
    </font>
    <font>
      <sz val="10"/>
    </font>
    <font>
      <i val="1"/>
      <color rgb="00C00000"/>
      <sz val="9"/>
    </font>
    <font>
      <i val="1"/>
      <sz val="8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right" vertical="top"/>
    </xf>
    <xf numFmtId="0" fontId="0" fillId="0" borderId="1" pivotButton="0" quotePrefix="0" xfId="0"/>
    <xf numFmtId="164" fontId="6" fillId="4" borderId="1" applyAlignment="1" pivotButton="0" quotePrefix="0" xfId="0">
      <alignment horizontal="right" vertical="top"/>
    </xf>
    <xf numFmtId="0" fontId="5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64" customWidth="1" min="2" max="2"/>
    <col width="7" customWidth="1" min="3" max="3"/>
    <col width="9" customWidth="1" min="4" max="4"/>
    <col width="9" customWidth="1" min="5" max="5"/>
    <col width="14" customWidth="1" min="6" max="6"/>
    <col width="16" customWidth="1" min="7" max="7"/>
  </cols>
  <sheetData>
    <row r="1">
      <c r="A1" s="1" t="inlineStr">
        <is>
          <t>Bordereau-métré — Mise hors d'eau / réparation de la toiture</t>
        </is>
      </c>
    </row>
    <row r="2">
      <c r="A2" s="2" t="inlineStr">
        <is>
          <t>Maison principale (corps de logis) — Ferme du Temple — Avenue Joseph Wauters 227, 7080 Frameries</t>
        </is>
      </c>
    </row>
    <row r="3">
      <c r="A3" s="2" t="inlineStr">
        <is>
          <t>Maître d'ouvrage : Habitat partagé de la Ferme du Temple (collectif Beaver)</t>
        </is>
      </c>
    </row>
    <row r="4">
      <c r="A4" s="2" t="inlineStr">
        <is>
          <t>Destinataire : Consultation entreprises de couverture (Adritoit SRL · LB Toiture SAV)   |   Réf. FdT-TOIT-MP-2026-06   |   Date : 13/06/2026   |   EUR (€), montants HTVA</t>
        </is>
      </c>
    </row>
    <row r="5" ht="48" customHeight="1">
      <c r="A5" s="3" t="inlineStr">
        <is>
          <t>⚠ QUANTITÉS PRÉSUMÉES (QP) — à vérifier contradictoirement lors d'une visite sur site. Le décompte final est établi sur métré réel. Colonnes P.U. et Total à compléter par le couvreur. Surface de reprise ≈ 50 m² — relevé MO : &lt; 1/2 du versant Nord (~68 m²) + 1/3 du versant Est (~61 m²) ; versants répartis depuis 237 m² selon l'orientation des arêtes (scan). À confirmer sur site.</t>
        </is>
      </c>
    </row>
    <row r="6">
      <c r="A6" s="4" t="inlineStr">
        <is>
          <t>Type : QF=forfaitaire · QP=présumée · PG=poste global · SR=somme réservée · PM=pour mémoire</t>
        </is>
      </c>
    </row>
    <row r="8">
      <c r="A8" s="5" t="inlineStr">
        <is>
          <t>N°</t>
        </is>
      </c>
      <c r="B8" s="5" t="inlineStr">
        <is>
          <t>Désignation des ouvrages</t>
        </is>
      </c>
      <c r="C8" s="5" t="inlineStr">
        <is>
          <t>Type</t>
        </is>
      </c>
      <c r="D8" s="5" t="inlineStr">
        <is>
          <t>Unité</t>
        </is>
      </c>
      <c r="E8" s="5" t="inlineStr">
        <is>
          <t>Q.P.</t>
        </is>
      </c>
      <c r="F8" s="5" t="inlineStr">
        <is>
          <t>P.U. HTVA (€)</t>
        </is>
      </c>
      <c r="G8" s="5" t="inlineStr">
        <is>
          <t>Total HTVA (€)</t>
        </is>
      </c>
    </row>
    <row r="9">
      <c r="A9" s="6" t="inlineStr">
        <is>
          <t>0.  INSTALLATION DE CHANTIER, ACCÈS &amp; SÉCURITÉ</t>
        </is>
      </c>
    </row>
    <row r="10" ht="26" customHeight="1">
      <c r="A10" s="7" t="inlineStr">
        <is>
          <t>0.1</t>
        </is>
      </c>
      <c r="B10" s="8" t="inlineStr">
        <is>
          <t>Installation et repli de chantier (amenée/évacuation du matériel, zone de stockage, signalisation).</t>
        </is>
      </c>
      <c r="C10" s="7" t="inlineStr">
        <is>
          <t>PG</t>
        </is>
      </c>
      <c r="D10" s="7" t="inlineStr">
        <is>
          <t>pce</t>
        </is>
      </c>
      <c r="E10" s="9" t="n">
        <v>1</v>
      </c>
      <c r="F10" s="9" t="n"/>
      <c r="G10" s="9">
        <f>IF($F10="","",E10*F10)</f>
        <v/>
      </c>
    </row>
    <row r="11" ht="26" customHeight="1">
      <c r="A11" s="7" t="inlineStr">
        <is>
          <t>0.2</t>
        </is>
      </c>
      <c r="B11" s="8" t="inlineStr">
        <is>
          <t>Échafaudage de pied sur les façades libres concernées (montage, location, démontage), conforme à la réglementation. Base : ~33,6 m de façade libre × ~10 m.</t>
        </is>
      </c>
      <c r="C11" s="7" t="inlineStr">
        <is>
          <t>QP</t>
        </is>
      </c>
      <c r="D11" s="7" t="inlineStr">
        <is>
          <t>m² fac.</t>
        </is>
      </c>
      <c r="E11" s="9" t="n">
        <v>335</v>
      </c>
      <c r="F11" s="9" t="n"/>
      <c r="G11" s="9">
        <f>IF($F11="","",E11*F11)</f>
        <v/>
      </c>
    </row>
    <row r="12" ht="26" customHeight="1">
      <c r="A12" s="7" t="inlineStr">
        <is>
          <t>0.3</t>
        </is>
      </c>
      <c r="B12" s="8" t="inlineStr">
        <is>
          <t>Dispositifs d'accès et de circulation en toiture (échelles de couvreur, plateforme de travail, crochets).</t>
        </is>
      </c>
      <c r="C12" s="7" t="inlineStr">
        <is>
          <t>QP</t>
        </is>
      </c>
      <c r="D12" s="7" t="inlineStr">
        <is>
          <t>forf.</t>
        </is>
      </c>
      <c r="E12" s="9" t="n">
        <v>1</v>
      </c>
      <c r="F12" s="9" t="n"/>
      <c r="G12" s="9">
        <f>IF($F12="","",E12*F12)</f>
        <v/>
      </c>
    </row>
    <row r="13" ht="26" customHeight="1">
      <c r="A13" s="7" t="inlineStr">
        <is>
          <t>0.4</t>
        </is>
      </c>
      <c r="B13" s="8" t="inlineStr">
        <is>
          <t>Sécurité collective : garde-corps périphérique antichute, filets, et/ou ligne de vie temporaire.</t>
        </is>
      </c>
      <c r="C13" s="7" t="inlineStr">
        <is>
          <t>QF</t>
        </is>
      </c>
      <c r="D13" s="7" t="inlineStr">
        <is>
          <t>forf.</t>
        </is>
      </c>
      <c r="E13" s="9" t="n">
        <v>1</v>
      </c>
      <c r="F13" s="9" t="n"/>
      <c r="G13" s="9">
        <f>IF($F13="","",E13*F13)</f>
        <v/>
      </c>
    </row>
    <row r="14" ht="26" customHeight="1">
      <c r="A14" s="7" t="inlineStr">
        <is>
          <t>0.5</t>
        </is>
      </c>
      <c r="B14" s="8" t="inlineStr">
        <is>
          <t>Protection des ouvrages conservés et des abords (tourelle, châssis, maçonneries, sols).</t>
        </is>
      </c>
      <c r="C14" s="7" t="inlineStr">
        <is>
          <t>QF</t>
        </is>
      </c>
      <c r="D14" s="7" t="inlineStr">
        <is>
          <t>forf.</t>
        </is>
      </c>
      <c r="E14" s="9" t="n">
        <v>1</v>
      </c>
      <c r="F14" s="9" t="n"/>
      <c r="G14" s="9">
        <f>IF($F14="","",E14*F14)</f>
        <v/>
      </c>
    </row>
    <row r="15">
      <c r="A15" s="6" t="inlineStr">
        <is>
          <t>1.  DÉPOSE &amp; MISE HORS D'EAU PROVISOIRE</t>
        </is>
      </c>
    </row>
    <row r="16" ht="26" customHeight="1">
      <c r="A16" s="7" t="inlineStr">
        <is>
          <t>1.1</t>
        </is>
      </c>
      <c r="B16" s="8" t="inlineStr">
        <is>
          <t>Dépose et évacuation des bâches provisoires existantes sur les versants.</t>
        </is>
      </c>
      <c r="C16" s="7" t="inlineStr">
        <is>
          <t>QP</t>
        </is>
      </c>
      <c r="D16" s="7" t="inlineStr">
        <is>
          <t>m²</t>
        </is>
      </c>
      <c r="E16" s="9" t="n">
        <v>50</v>
      </c>
      <c r="F16" s="9" t="n"/>
      <c r="G16" s="9">
        <f>IF($F16="","",E16*F16)</f>
        <v/>
      </c>
    </row>
    <row r="17" ht="26" customHeight="1">
      <c r="A17" s="7" t="inlineStr">
        <is>
          <t>1.2</t>
        </is>
      </c>
      <c r="B17" s="8" t="inlineStr">
        <is>
          <t>Mise hors d'eau provisoire renforcée maintenue pendant toute la durée du chantier (bâches lestées, étanchéité temporaire).</t>
        </is>
      </c>
      <c r="C17" s="7" t="inlineStr">
        <is>
          <t>QF</t>
        </is>
      </c>
      <c r="D17" s="7" t="inlineStr">
        <is>
          <t>forf.</t>
        </is>
      </c>
      <c r="E17" s="9" t="n">
        <v>1</v>
      </c>
      <c r="F17" s="9" t="n"/>
      <c r="G17" s="9">
        <f>IF($F17="","",E17*F17)</f>
        <v/>
      </c>
    </row>
    <row r="18" ht="26" customHeight="1">
      <c r="A18" s="7" t="inlineStr">
        <is>
          <t>1.3</t>
        </is>
      </c>
      <c r="B18" s="8" t="inlineStr">
        <is>
          <t>Sondages et diagnostic visuel des parties accessibles de la couverture et de la charpente (état des sablières / pieds de chevrons — lien avec le traitement mérule en cours).</t>
        </is>
      </c>
      <c r="C18" s="7" t="inlineStr">
        <is>
          <t>QF</t>
        </is>
      </c>
      <c r="D18" s="7" t="inlineStr">
        <is>
          <t>forf.</t>
        </is>
      </c>
      <c r="E18" s="9" t="n">
        <v>1</v>
      </c>
      <c r="F18" s="9" t="n"/>
      <c r="G18" s="9">
        <f>IF($F18="","",E18*F18)</f>
        <v/>
      </c>
    </row>
    <row r="19" ht="26" customHeight="1">
      <c r="A19" s="7" t="inlineStr">
        <is>
          <t>1.4</t>
        </is>
      </c>
      <c r="B19" s="8" t="inlineStr">
        <is>
          <t>Dépose soignée des ardoises et de leur support dans les zones dégradées à reprendre, avec récupération des ardoises réutilisables.</t>
        </is>
      </c>
      <c r="C19" s="7" t="inlineStr">
        <is>
          <t>QP</t>
        </is>
      </c>
      <c r="D19" s="7" t="inlineStr">
        <is>
          <t>m²</t>
        </is>
      </c>
      <c r="E19" s="9" t="n">
        <v>50</v>
      </c>
      <c r="F19" s="9" t="n"/>
      <c r="G19" s="9">
        <f>IF($F19="","",E19*F19)</f>
        <v/>
      </c>
    </row>
    <row r="20" ht="26" customHeight="1">
      <c r="A20" s="7" t="inlineStr">
        <is>
          <t>1.5</t>
        </is>
      </c>
      <c r="B20" s="8" t="inlineStr">
        <is>
          <t>Repérage / inventaire amiante préalable de la couverture existante (obligation préalable au démontage).</t>
        </is>
      </c>
      <c r="C20" s="7" t="inlineStr">
        <is>
          <t>QF</t>
        </is>
      </c>
      <c r="D20" s="7" t="inlineStr">
        <is>
          <t>forf.</t>
        </is>
      </c>
      <c r="E20" s="9" t="n">
        <v>1</v>
      </c>
      <c r="F20" s="9" t="n"/>
      <c r="G20" s="9">
        <f>IF($F20="","",E20*F20)</f>
        <v/>
      </c>
    </row>
    <row r="21" ht="26" customHeight="1">
      <c r="A21" s="7" t="inlineStr">
        <is>
          <t>1.6</t>
        </is>
      </c>
      <c r="B21" s="8" t="inlineStr">
        <is>
          <t>Tri, descente et évacuation des déchets en CET autorisé (y c. filière amiante si avérée).</t>
        </is>
      </c>
      <c r="C21" s="7" t="inlineStr">
        <is>
          <t>QP</t>
        </is>
      </c>
      <c r="D21" s="7" t="inlineStr">
        <is>
          <t>m³</t>
        </is>
      </c>
      <c r="E21" s="9" t="n">
        <v>10</v>
      </c>
      <c r="F21" s="9" t="n"/>
      <c r="G21" s="9">
        <f>IF($F21="","",E21*F21)</f>
        <v/>
      </c>
    </row>
    <row r="22">
      <c r="A22" s="6" t="inlineStr">
        <is>
          <t>2.  CHARPENTE &amp; SUPPORT (réparations localisées)</t>
        </is>
      </c>
    </row>
    <row r="23" ht="26" customHeight="1">
      <c r="A23" s="7" t="inlineStr">
        <is>
          <t>2.1</t>
        </is>
      </c>
      <c r="B23" s="8" t="inlineStr">
        <is>
          <t>Révision générale de la charpente apparente (resserrage, calage, purge des bois pourris).</t>
        </is>
      </c>
      <c r="C23" s="7" t="inlineStr">
        <is>
          <t>QF</t>
        </is>
      </c>
      <c r="D23" s="7" t="inlineStr">
        <is>
          <t>forf.</t>
        </is>
      </c>
      <c r="E23" s="9" t="n">
        <v>1</v>
      </c>
      <c r="F23" s="9" t="n"/>
      <c r="G23" s="9">
        <f>IF($F23="","",E23*F23)</f>
        <v/>
      </c>
    </row>
    <row r="24" ht="26" customHeight="1">
      <c r="A24" s="7" t="inlineStr">
        <is>
          <t>2.2</t>
        </is>
      </c>
      <c r="B24" s="8" t="inlineStr">
        <is>
          <t>Remplacement de chevrons dégradés par bois résineux traité classe d'emploi 2, section assortie à l'existant.</t>
        </is>
      </c>
      <c r="C24" s="7" t="inlineStr">
        <is>
          <t>QP</t>
        </is>
      </c>
      <c r="D24" s="7" t="inlineStr">
        <is>
          <t>m</t>
        </is>
      </c>
      <c r="E24" s="9" t="n">
        <v>60</v>
      </c>
      <c r="F24" s="9" t="n"/>
      <c r="G24" s="9">
        <f>IF($F24="","",E24*F24)</f>
        <v/>
      </c>
    </row>
    <row r="25" ht="26" customHeight="1">
      <c r="A25" s="7" t="inlineStr">
        <is>
          <t>2.3</t>
        </is>
      </c>
      <c r="B25" s="8" t="inlineStr">
        <is>
          <t>Remplacement / renforcement de sablières et de pieds de chevrons (zones en contact avec maçonneries humides).</t>
        </is>
      </c>
      <c r="C25" s="7" t="inlineStr">
        <is>
          <t>QP</t>
        </is>
      </c>
      <c r="D25" s="7" t="inlineStr">
        <is>
          <t>m</t>
        </is>
      </c>
      <c r="E25" s="9" t="n">
        <v>20</v>
      </c>
      <c r="F25" s="9" t="n"/>
      <c r="G25" s="9">
        <f>IF($F25="","",E25*F25)</f>
        <v/>
      </c>
    </row>
    <row r="26" ht="26" customHeight="1">
      <c r="A26" s="7" t="inlineStr">
        <is>
          <t>2.4</t>
        </is>
      </c>
      <c r="B26" s="8" t="inlineStr">
        <is>
          <t>Réfection du voligeage / liteaunage sous les zones reprises.</t>
        </is>
      </c>
      <c r="C26" s="7" t="inlineStr">
        <is>
          <t>QP</t>
        </is>
      </c>
      <c r="D26" s="7" t="inlineStr">
        <is>
          <t>m²</t>
        </is>
      </c>
      <c r="E26" s="9" t="n">
        <v>50</v>
      </c>
      <c r="F26" s="9" t="n"/>
      <c r="G26" s="9">
        <f>IF($F26="","",E26*F26)</f>
        <v/>
      </c>
    </row>
    <row r="27" ht="26" customHeight="1">
      <c r="A27" s="7" t="inlineStr">
        <is>
          <t>2.5</t>
        </is>
      </c>
      <c r="B27" s="8" t="inlineStr">
        <is>
          <t>Traitement curatif et préventif du bois de charpente (fongicide / insecticide) sur parties conservées / mises à nu.</t>
        </is>
      </c>
      <c r="C27" s="7" t="inlineStr">
        <is>
          <t>QP</t>
        </is>
      </c>
      <c r="D27" s="7" t="inlineStr">
        <is>
          <t>m²</t>
        </is>
      </c>
      <c r="E27" s="9" t="n">
        <v>50</v>
      </c>
      <c r="F27" s="9" t="n"/>
      <c r="G27" s="9">
        <f>IF($F27="","",E27*F27)</f>
        <v/>
      </c>
    </row>
    <row r="28">
      <c r="A28" s="6" t="inlineStr">
        <is>
          <t>3.  SOUS-TOITURE &amp; COUVERTURE (reprises)</t>
        </is>
      </c>
    </row>
    <row r="29" ht="26" customHeight="1">
      <c r="A29" s="7" t="inlineStr">
        <is>
          <t>3.1</t>
        </is>
      </c>
      <c r="B29" s="8" t="inlineStr">
        <is>
          <t>Fourniture et pose d'un écran de sous-toiture HPV (pare-pluie) sous les zones reprises.</t>
        </is>
      </c>
      <c r="C29" s="7" t="inlineStr">
        <is>
          <t>QP</t>
        </is>
      </c>
      <c r="D29" s="7" t="inlineStr">
        <is>
          <t>m²</t>
        </is>
      </c>
      <c r="E29" s="9" t="n">
        <v>50</v>
      </c>
      <c r="F29" s="9" t="n"/>
      <c r="G29" s="9">
        <f>IF($F29="","",E29*F29)</f>
        <v/>
      </c>
    </row>
    <row r="30" ht="26" customHeight="1">
      <c r="A30" s="7" t="inlineStr">
        <is>
          <t>3.2</t>
        </is>
      </c>
      <c r="B30" s="8" t="inlineStr">
        <is>
          <t>Contre-lattage + lattage neufs (résineux traité) sous les zones reprises.</t>
        </is>
      </c>
      <c r="C30" s="7" t="inlineStr">
        <is>
          <t>QP</t>
        </is>
      </c>
      <c r="D30" s="7" t="inlineStr">
        <is>
          <t>m²</t>
        </is>
      </c>
      <c r="E30" s="9" t="n">
        <v>50</v>
      </c>
      <c r="F30" s="9" t="n"/>
      <c r="G30" s="9">
        <f>IF($F30="","",E30*F30)</f>
        <v/>
      </c>
    </row>
    <row r="31" ht="26" customHeight="1">
      <c r="A31" s="7" t="inlineStr">
        <is>
          <t>3.3</t>
        </is>
      </c>
      <c r="B31" s="8" t="inlineStr">
        <is>
          <t>Recouverture en ardoise RECONSTITUÉE (recomposée) assortie à l'existant sur les zones reprises, pose et fixation selon les règles de l'art. (Variante ardoise naturelle : voir poste V1.)</t>
        </is>
      </c>
      <c r="C31" s="7" t="inlineStr">
        <is>
          <t>QP</t>
        </is>
      </c>
      <c r="D31" s="7" t="inlineStr">
        <is>
          <t>m²</t>
        </is>
      </c>
      <c r="E31" s="9" t="n">
        <v>50</v>
      </c>
      <c r="F31" s="9" t="n"/>
      <c r="G31" s="9">
        <f>IF($F31="","",E31*F31)</f>
        <v/>
      </c>
    </row>
    <row r="32" ht="26" customHeight="1">
      <c r="A32" s="7" t="inlineStr">
        <is>
          <t>3.4</t>
        </is>
      </c>
      <c r="B32" s="8" t="inlineStr">
        <is>
          <t>Remplacement ponctuel d'ardoises isolées cassées / glissées hors zones reprises.</t>
        </is>
      </c>
      <c r="C32" s="7" t="inlineStr">
        <is>
          <t>QP</t>
        </is>
      </c>
      <c r="D32" s="7" t="inlineStr">
        <is>
          <t>pce</t>
        </is>
      </c>
      <c r="E32" s="9" t="n">
        <v>200</v>
      </c>
      <c r="F32" s="9" t="n"/>
      <c r="G32" s="9">
        <f>IF($F32="","",E32*F32)</f>
        <v/>
      </c>
    </row>
    <row r="33" ht="26" customHeight="1">
      <c r="A33" s="7" t="inlineStr">
        <is>
          <t>3.5</t>
        </is>
      </c>
      <c r="B33" s="8" t="inlineStr">
        <is>
          <t>Rétablissement du faîtage et des arêtiers (closoirs ventilés, fixation mécanique).</t>
        </is>
      </c>
      <c r="C33" s="7" t="inlineStr">
        <is>
          <t>QP</t>
        </is>
      </c>
      <c r="D33" s="7" t="inlineStr">
        <is>
          <t>m</t>
        </is>
      </c>
      <c r="E33" s="9" t="n">
        <v>35</v>
      </c>
      <c r="F33" s="9" t="n"/>
      <c r="G33" s="9">
        <f>IF($F33="","",E33*F33)</f>
        <v/>
      </c>
    </row>
    <row r="34" ht="26" customHeight="1">
      <c r="A34" s="7" t="inlineStr">
        <is>
          <t>3.6</t>
        </is>
      </c>
      <c r="B34" s="8" t="inlineStr">
        <is>
          <t>Réfection des noues (façonnage zinc ou plomb).</t>
        </is>
      </c>
      <c r="C34" s="7" t="inlineStr">
        <is>
          <t>QP</t>
        </is>
      </c>
      <c r="D34" s="7" t="inlineStr">
        <is>
          <t>m</t>
        </is>
      </c>
      <c r="E34" s="9" t="n">
        <v>12</v>
      </c>
      <c r="F34" s="9" t="n"/>
      <c r="G34" s="9">
        <f>IF($F34="","",E34*F34)</f>
        <v/>
      </c>
    </row>
    <row r="35">
      <c r="A35" s="6" t="inlineStr">
        <is>
          <t>4.  POINTS SINGULIERS</t>
        </is>
      </c>
    </row>
    <row r="36" ht="26" customHeight="1">
      <c r="A36" s="7" t="inlineStr">
        <is>
          <t>4.1</t>
        </is>
      </c>
      <c r="B36" s="8" t="inlineStr">
        <is>
          <t>Lucarnes jacobines (toit cintré zinc) : réfection couverture + joues + zinguerie (par unité).</t>
        </is>
      </c>
      <c r="C36" s="7" t="inlineStr">
        <is>
          <t>QP</t>
        </is>
      </c>
      <c r="D36" s="7" t="inlineStr">
        <is>
          <t>pce</t>
        </is>
      </c>
      <c r="E36" s="9" t="n">
        <v>2</v>
      </c>
      <c r="F36" s="9" t="n"/>
      <c r="G36" s="9">
        <f>IF($F36="","",E36*F36)</f>
        <v/>
      </c>
    </row>
    <row r="37" ht="26" customHeight="1">
      <c r="A37" s="7" t="inlineStr">
        <is>
          <t>4.2</t>
        </is>
      </c>
      <c r="B37" s="8" t="inlineStr">
        <is>
          <t>Œil-de-bœuf / lucarne ronde : réfection de la couverture et des raccords.</t>
        </is>
      </c>
      <c r="C37" s="7" t="inlineStr">
        <is>
          <t>QP</t>
        </is>
      </c>
      <c r="D37" s="7" t="inlineStr">
        <is>
          <t>pce</t>
        </is>
      </c>
      <c r="E37" s="9" t="n">
        <v>1</v>
      </c>
      <c r="F37" s="9" t="n"/>
      <c r="G37" s="9">
        <f>IF($F37="","",E37*F37)</f>
        <v/>
      </c>
    </row>
    <row r="38" ht="26" customHeight="1">
      <c r="A38" s="7" t="inlineStr">
        <is>
          <t>4.3</t>
        </is>
      </c>
      <c r="B38" s="8" t="inlineStr">
        <is>
          <t>Tourelle : révision / réfection de la couverture conique (plomb, zinc ou ardoise) et de son amortissement.</t>
        </is>
      </c>
      <c r="C38" s="7" t="inlineStr">
        <is>
          <t>PG</t>
        </is>
      </c>
      <c r="D38" s="7" t="inlineStr">
        <is>
          <t>forf.</t>
        </is>
      </c>
      <c r="E38" s="9" t="n">
        <v>1</v>
      </c>
      <c r="F38" s="9" t="n"/>
      <c r="G38" s="9">
        <f>IF($F38="","",E38*F38)</f>
        <v/>
      </c>
    </row>
    <row r="39" ht="26" customHeight="1">
      <c r="A39" s="7" t="inlineStr">
        <is>
          <t>4.4</t>
        </is>
      </c>
      <c r="B39" s="8" t="inlineStr">
        <is>
          <t>Souches de cheminée : réfection des solins et bavettes en plomb, rejointoiement de la tête (par souche).</t>
        </is>
      </c>
      <c r="C39" s="7" t="inlineStr">
        <is>
          <t>QP</t>
        </is>
      </c>
      <c r="D39" s="7" t="inlineStr">
        <is>
          <t>pce</t>
        </is>
      </c>
      <c r="E39" s="9" t="n">
        <v>3</v>
      </c>
      <c r="F39" s="9" t="n"/>
      <c r="G39" s="9">
        <f>IF($F39="","",E39*F39)</f>
        <v/>
      </c>
    </row>
    <row r="40" ht="26" customHeight="1">
      <c r="A40" s="7" t="inlineStr">
        <is>
          <t>4.5</t>
        </is>
      </c>
      <c r="B40" s="8" t="inlineStr">
        <is>
          <t>Solins et raccords d'étanchéité contre maçonneries mitoyennes (Aile Ouest, Atelier). Base : ~24,8 m d'arêtes mitoyennes.</t>
        </is>
      </c>
      <c r="C40" s="7" t="inlineStr">
        <is>
          <t>QP</t>
        </is>
      </c>
      <c r="D40" s="7" t="inlineStr">
        <is>
          <t>m</t>
        </is>
      </c>
      <c r="E40" s="9" t="n">
        <v>25</v>
      </c>
      <c r="F40" s="9" t="n"/>
      <c r="G40" s="9">
        <f>IF($F40="","",E40*F40)</f>
        <v/>
      </c>
    </row>
    <row r="41" ht="26" customHeight="1">
      <c r="A41" s="7" t="inlineStr">
        <is>
          <t>4.6</t>
        </is>
      </c>
      <c r="B41" s="8" t="inlineStr">
        <is>
          <t>Reprise des pénétrations diverses (ventilations, sorties, scellements).</t>
        </is>
      </c>
      <c r="C41" s="7" t="inlineStr">
        <is>
          <t>QP</t>
        </is>
      </c>
      <c r="D41" s="7" t="inlineStr">
        <is>
          <t>pce</t>
        </is>
      </c>
      <c r="E41" s="9" t="n">
        <v>5</v>
      </c>
      <c r="F41" s="9" t="n"/>
      <c r="G41" s="9">
        <f>IF($F41="","",E41*F41)</f>
        <v/>
      </c>
    </row>
    <row r="42">
      <c r="A42" s="6" t="inlineStr">
        <is>
          <t>5.  ÉVACUATION DES EAUX PLUVIALES (zinguerie)</t>
        </is>
      </c>
    </row>
    <row r="43" ht="26" customHeight="1">
      <c r="A43" s="7" t="inlineStr">
        <is>
          <t>5.1</t>
        </is>
      </c>
      <c r="B43" s="8" t="inlineStr">
        <is>
          <t>Dépose des gouttières / corniches et descentes dégradées (linéaire de corniche libre).</t>
        </is>
      </c>
      <c r="C43" s="7" t="inlineStr">
        <is>
          <t>QP</t>
        </is>
      </c>
      <c r="D43" s="7" t="inlineStr">
        <is>
          <t>m</t>
        </is>
      </c>
      <c r="E43" s="9" t="n">
        <v>34</v>
      </c>
      <c r="F43" s="9" t="n"/>
      <c r="G43" s="9">
        <f>IF($F43="","",E43*F43)</f>
        <v/>
      </c>
    </row>
    <row r="44" ht="26" customHeight="1">
      <c r="A44" s="7" t="inlineStr">
        <is>
          <t>5.2</t>
        </is>
      </c>
      <c r="B44" s="8" t="inlineStr">
        <is>
          <t>Fourniture et pose de gouttières (corniche) en zinc, y c. naissances. Base : ~33,6 m d'arêtes libres.</t>
        </is>
      </c>
      <c r="C44" s="7" t="inlineStr">
        <is>
          <t>QP</t>
        </is>
      </c>
      <c r="D44" s="7" t="inlineStr">
        <is>
          <t>m</t>
        </is>
      </c>
      <c r="E44" s="9" t="n">
        <v>34</v>
      </c>
      <c r="F44" s="9" t="n"/>
      <c r="G44" s="9">
        <f>IF($F44="","",E44*F44)</f>
        <v/>
      </c>
    </row>
    <row r="45" ht="26" customHeight="1">
      <c r="A45" s="7" t="inlineStr">
        <is>
          <t>5.3</t>
        </is>
      </c>
      <c r="B45" s="8" t="inlineStr">
        <is>
          <t>Descentes d'eaux pluviales + accessoires (dauphins fonte, crapaudines, raccords). Base : ~3 descentes × ~8 m.</t>
        </is>
      </c>
      <c r="C45" s="7" t="inlineStr">
        <is>
          <t>QP</t>
        </is>
      </c>
      <c r="D45" s="7" t="inlineStr">
        <is>
          <t>m</t>
        </is>
      </c>
      <c r="E45" s="9" t="n">
        <v>24</v>
      </c>
      <c r="F45" s="9" t="n"/>
      <c r="G45" s="9">
        <f>IF($F45="","",E45*F45)</f>
        <v/>
      </c>
    </row>
    <row r="46" ht="26" customHeight="1">
      <c r="A46" s="7" t="inlineStr">
        <is>
          <t>5.4</t>
        </is>
      </c>
      <c r="B46" s="8" t="inlineStr">
        <is>
          <t>Bavettes, noquets et solins en zinc / plomb.</t>
        </is>
      </c>
      <c r="C46" s="7" t="inlineStr">
        <is>
          <t>QP</t>
        </is>
      </c>
      <c r="D46" s="7" t="inlineStr">
        <is>
          <t>m</t>
        </is>
      </c>
      <c r="E46" s="9" t="n">
        <v>30</v>
      </c>
      <c r="F46" s="9" t="n"/>
      <c r="G46" s="9">
        <f>IF($F46="","",E46*F46)</f>
        <v/>
      </c>
    </row>
    <row r="47">
      <c r="A47" s="6" t="inlineStr">
        <is>
          <t>6.  TOITURE PLATE / TERRASSON ZINC (sommet du comble — photos Adritoit)</t>
        </is>
      </c>
    </row>
    <row r="48" ht="26" customHeight="1">
      <c r="A48" s="7" t="inlineStr">
        <is>
          <t>6.1</t>
        </is>
      </c>
      <c r="B48" s="8" t="inlineStr">
        <is>
          <t>Dépose de la couverture métallique existante (zinc / plomb) du terrasson, fortement dégradée.</t>
        </is>
      </c>
      <c r="C48" s="7" t="inlineStr">
        <is>
          <t>QP</t>
        </is>
      </c>
      <c r="D48" s="7" t="inlineStr">
        <is>
          <t>m²</t>
        </is>
      </c>
      <c r="E48" s="9" t="n">
        <v>20</v>
      </c>
      <c r="F48" s="9" t="n"/>
      <c r="G48" s="9">
        <f>IF($F48="","",E48*F48)</f>
        <v/>
      </c>
    </row>
    <row r="49" ht="26" customHeight="1">
      <c r="A49" s="7" t="inlineStr">
        <is>
          <t>6.2</t>
        </is>
      </c>
      <c r="B49" s="8" t="inlineStr">
        <is>
          <t>Révision / remplacement du support (voligeage, platelage) de la toiture plate.</t>
        </is>
      </c>
      <c r="C49" s="7" t="inlineStr">
        <is>
          <t>QP</t>
        </is>
      </c>
      <c r="D49" s="7" t="inlineStr">
        <is>
          <t>m²</t>
        </is>
      </c>
      <c r="E49" s="9" t="n">
        <v>20</v>
      </c>
      <c r="F49" s="9" t="n"/>
      <c r="G49" s="9">
        <f>IF($F49="","",E49*F49)</f>
        <v/>
      </c>
    </row>
    <row r="50" ht="26" customHeight="1">
      <c r="A50" s="7" t="inlineStr">
        <is>
          <t>6.3</t>
        </is>
      </c>
      <c r="B50" s="8" t="inlineStr">
        <is>
          <t>Nouvelle étanchéité ZINC à joints debout (reprise du système d'origine — solution de base). Variantes bitume/EPDM : postes V2/V3.</t>
        </is>
      </c>
      <c r="C50" s="7" t="inlineStr">
        <is>
          <t>QP</t>
        </is>
      </c>
      <c r="D50" s="7" t="inlineStr">
        <is>
          <t>m²</t>
        </is>
      </c>
      <c r="E50" s="9" t="n">
        <v>20</v>
      </c>
      <c r="F50" s="9" t="n"/>
      <c r="G50" s="9">
        <f>IF($F50="","",E50*F50)</f>
        <v/>
      </c>
    </row>
    <row r="51" ht="26" customHeight="1">
      <c r="A51" s="7" t="inlineStr">
        <is>
          <t>6.4</t>
        </is>
      </c>
      <c r="B51" s="8" t="inlineStr">
        <is>
          <t>Relevés d'étanchéité périphériques, bavettes et raccords sur acrotères / souches (pourtour ~5×4 m).</t>
        </is>
      </c>
      <c r="C51" s="7" t="inlineStr">
        <is>
          <t>QP</t>
        </is>
      </c>
      <c r="D51" s="7" t="inlineStr">
        <is>
          <t>m</t>
        </is>
      </c>
      <c r="E51" s="9" t="n">
        <v>18</v>
      </c>
      <c r="F51" s="9" t="n"/>
      <c r="G51" s="9">
        <f>IF($F51="","",E51*F51)</f>
        <v/>
      </c>
    </row>
    <row r="52" ht="26" customHeight="1">
      <c r="A52" s="7" t="inlineStr">
        <is>
          <t>6.5</t>
        </is>
      </c>
      <c r="B52" s="8" t="inlineStr">
        <is>
          <t>Évacuations d'eaux pluviales du terrasson (naissances, trop-pleins, raccord aux descentes).</t>
        </is>
      </c>
      <c r="C52" s="7" t="inlineStr">
        <is>
          <t>QP</t>
        </is>
      </c>
      <c r="D52" s="7" t="inlineStr">
        <is>
          <t>pce</t>
        </is>
      </c>
      <c r="E52" s="9" t="n">
        <v>2</v>
      </c>
      <c r="F52" s="9" t="n"/>
      <c r="G52" s="9">
        <f>IF($F52="","",E52*F52)</f>
        <v/>
      </c>
    </row>
    <row r="53">
      <c r="A53" s="6" t="inlineStr">
        <is>
          <t>7.  DIVERS &amp; FIN DE CHANTIER</t>
        </is>
      </c>
    </row>
    <row r="54" ht="26" customHeight="1">
      <c r="A54" s="7" t="inlineStr">
        <is>
          <t>7.1</t>
        </is>
      </c>
      <c r="B54" s="8" t="inlineStr">
        <is>
          <t>Coordination sécurité-santé / plan particulier de sécurité (PSS) — si requis.</t>
        </is>
      </c>
      <c r="C54" s="7" t="inlineStr">
        <is>
          <t>QF</t>
        </is>
      </c>
      <c r="D54" s="7" t="inlineStr">
        <is>
          <t>forf.</t>
        </is>
      </c>
      <c r="E54" s="9" t="n">
        <v>1</v>
      </c>
      <c r="F54" s="9" t="n"/>
      <c r="G54" s="9">
        <f>IF($F54="","",E54*F54)</f>
        <v/>
      </c>
    </row>
    <row r="55" ht="26" customHeight="1">
      <c r="A55" s="7" t="inlineStr">
        <is>
          <t>7.2</t>
        </is>
      </c>
      <c r="B55" s="8" t="inlineStr">
        <is>
          <t>Nettoyage du chantier et évacuation finale des déchets.</t>
        </is>
      </c>
      <c r="C55" s="7" t="inlineStr">
        <is>
          <t>QF</t>
        </is>
      </c>
      <c r="D55" s="7" t="inlineStr">
        <is>
          <t>forf.</t>
        </is>
      </c>
      <c r="E55" s="9" t="n">
        <v>1</v>
      </c>
      <c r="F55" s="9" t="n"/>
      <c r="G55" s="9">
        <f>IF($F55="","",E55*F55)</f>
        <v/>
      </c>
    </row>
    <row r="56" ht="26" customHeight="1">
      <c r="A56" s="7" t="inlineStr">
        <is>
          <t>7.3</t>
        </is>
      </c>
      <c r="B56" s="8" t="inlineStr">
        <is>
          <t>Réception, dossier de fin de chantier (photos, fiches techniques, garanties).</t>
        </is>
      </c>
      <c r="C56" s="7" t="inlineStr">
        <is>
          <t>QF</t>
        </is>
      </c>
      <c r="D56" s="7" t="inlineStr">
        <is>
          <t>forf.</t>
        </is>
      </c>
      <c r="E56" s="9" t="n">
        <v>1</v>
      </c>
      <c r="F56" s="9" t="n"/>
      <c r="G56" s="9">
        <f>IF($F56="","",E56*F56)</f>
        <v/>
      </c>
    </row>
    <row r="57" ht="26" customHeight="1">
      <c r="A57" s="7" t="inlineStr">
        <is>
          <t>7.4</t>
        </is>
      </c>
      <c r="B57" s="8" t="inlineStr">
        <is>
          <t>Somme réservée pour imprévus (travaux non décelables avant ouverture) — à valider par le maître d'ouvrage.</t>
        </is>
      </c>
      <c r="C57" s="7" t="inlineStr">
        <is>
          <t>SR</t>
        </is>
      </c>
      <c r="D57" s="7" t="inlineStr">
        <is>
          <t>forf.</t>
        </is>
      </c>
      <c r="E57" s="9" t="n">
        <v>1</v>
      </c>
      <c r="F57" s="9" t="n"/>
      <c r="G57" s="9">
        <f>IF($F57="","",E57*F57)</f>
        <v/>
      </c>
    </row>
    <row r="59">
      <c r="A59" s="10" t="inlineStr">
        <is>
          <t>TOTAL HTVA (chapitres 0 à 7)</t>
        </is>
      </c>
      <c r="B59" s="11" t="n"/>
      <c r="C59" s="11" t="n"/>
      <c r="D59" s="11" t="n"/>
      <c r="E59" s="11" t="n"/>
      <c r="F59" s="11" t="n"/>
      <c r="G59" s="12">
        <f>SUM(G9:G57)</f>
        <v/>
      </c>
    </row>
    <row r="60">
      <c r="A60" s="10" t="inlineStr">
        <is>
          <t>TVA 6% (rénovation logement &gt;10 ans, sous conditions)</t>
        </is>
      </c>
      <c r="B60" s="11" t="n"/>
      <c r="C60" s="11" t="n"/>
      <c r="D60" s="11" t="n"/>
      <c r="E60" s="11" t="n"/>
      <c r="F60" s="11" t="n"/>
      <c r="G60" s="12">
        <f>G59*0.06</f>
        <v/>
      </c>
    </row>
    <row r="61">
      <c r="A61" s="10" t="inlineStr">
        <is>
          <t>TOTAL TVAC</t>
        </is>
      </c>
      <c r="B61" s="11" t="n"/>
      <c r="C61" s="11" t="n"/>
      <c r="D61" s="11" t="n"/>
      <c r="E61" s="11" t="n"/>
      <c r="F61" s="11" t="n"/>
      <c r="G61" s="12">
        <f>G59+G60</f>
        <v/>
      </c>
    </row>
    <row r="63">
      <c r="A63" s="13" t="inlineStr">
        <is>
          <t>VARIANTES &amp; OPTIONS — à comparer, NON incluses dans le TOTAL ci-dessus (le maître d'ouvrage retient une solution selon les prix)</t>
        </is>
      </c>
      <c r="B63" s="11" t="n"/>
      <c r="C63" s="11" t="n"/>
      <c r="D63" s="11" t="n"/>
      <c r="E63" s="11" t="n"/>
      <c r="F63" s="11" t="n"/>
      <c r="G63" s="11" t="n"/>
    </row>
    <row r="64" ht="30" customHeight="1">
      <c r="A64" s="7" t="inlineStr">
        <is>
          <t>V1</t>
        </is>
      </c>
      <c r="B64" s="8" t="inlineStr">
        <is>
          <t>Plus-value ardoise NATURELLE au lieu de reconstituée, sur les zones reprises (comparaison de coût demandée par le MO). À chiffrer en alternative au poste 3.3.</t>
        </is>
      </c>
      <c r="C64" s="7" t="inlineStr">
        <is>
          <t>QP</t>
        </is>
      </c>
      <c r="D64" s="7" t="inlineStr">
        <is>
          <t>m²</t>
        </is>
      </c>
      <c r="E64" s="9" t="n">
        <v>50</v>
      </c>
      <c r="F64" s="9" t="n"/>
      <c r="G64" s="9">
        <f>IF($F64="","",E64*F64)</f>
        <v/>
      </c>
    </row>
    <row r="65" ht="30" customHeight="1">
      <c r="A65" s="7" t="inlineStr">
        <is>
          <t>V2</t>
        </is>
      </c>
      <c r="B65" s="8" t="inlineStr">
        <is>
          <t>Toiture plate — étanchéité BITUMINEUSE SBS bicouche soudée, en lieu et place du zinc (alternative au poste 6.3).</t>
        </is>
      </c>
      <c r="C65" s="7" t="inlineStr">
        <is>
          <t>QP</t>
        </is>
      </c>
      <c r="D65" s="7" t="inlineStr">
        <is>
          <t>m²</t>
        </is>
      </c>
      <c r="E65" s="9" t="n">
        <v>20</v>
      </c>
      <c r="F65" s="9" t="n"/>
      <c r="G65" s="9">
        <f>IF($F65="","",E65*F65)</f>
        <v/>
      </c>
    </row>
    <row r="66" ht="30" customHeight="1">
      <c r="A66" s="7" t="inlineStr">
        <is>
          <t>V3</t>
        </is>
      </c>
      <c r="B66" s="8" t="inlineStr">
        <is>
          <t>Toiture plate — étanchéité EPDM monocouche collée, en lieu et place du zinc (alternative au poste 6.3).</t>
        </is>
      </c>
      <c r="C66" s="7" t="inlineStr">
        <is>
          <t>QP</t>
        </is>
      </c>
      <c r="D66" s="7" t="inlineStr">
        <is>
          <t>m²</t>
        </is>
      </c>
      <c r="E66" s="9" t="n">
        <v>20</v>
      </c>
      <c r="F66" s="9" t="n"/>
      <c r="G66" s="9">
        <f>IF($F66="","",E66*F66)</f>
        <v/>
      </c>
    </row>
    <row r="67" ht="30" customHeight="1">
      <c r="A67" s="7" t="inlineStr">
        <is>
          <t>O1</t>
        </is>
      </c>
      <c r="B67" s="8" t="inlineStr">
        <is>
          <t>OPTION — Réfection COMPLÈTE des versants en ardoise reconstituée (dépose totale + sous-toiture + lattage + ardoises neuves), en remplacement des reprises ponctuelles. Scénario 'fin de vie' pour le financement.</t>
        </is>
      </c>
      <c r="C67" s="7" t="inlineStr">
        <is>
          <t>QP</t>
        </is>
      </c>
      <c r="D67" s="7" t="inlineStr">
        <is>
          <t>m²</t>
        </is>
      </c>
      <c r="E67" s="9" t="n">
        <v>237</v>
      </c>
      <c r="F67" s="9" t="n"/>
      <c r="G67" s="9">
        <f>IF($F67="","",E67*F67)</f>
        <v/>
      </c>
    </row>
    <row r="68" ht="30" customHeight="1">
      <c r="A68" s="7" t="inlineStr">
        <is>
          <t>O2</t>
        </is>
      </c>
      <c r="B68" s="8" t="inlineStr">
        <is>
          <t>OPTION — idem en ardoise NATURELLE (comparaison de coût).</t>
        </is>
      </c>
      <c r="C68" s="7" t="inlineStr">
        <is>
          <t>QP</t>
        </is>
      </c>
      <c r="D68" s="7" t="inlineStr">
        <is>
          <t>m²</t>
        </is>
      </c>
      <c r="E68" s="9" t="n">
        <v>237</v>
      </c>
      <c r="F68" s="9" t="n"/>
      <c r="G68" s="9">
        <f>IF($F68="","",E68*F68)</f>
        <v/>
      </c>
    </row>
  </sheetData>
  <mergeCells count="18">
    <mergeCell ref="A1:G1"/>
    <mergeCell ref="A60:F60"/>
    <mergeCell ref="A9:G9"/>
    <mergeCell ref="A3:G3"/>
    <mergeCell ref="A6:G6"/>
    <mergeCell ref="A22:G22"/>
    <mergeCell ref="A53:G53"/>
    <mergeCell ref="A35:G35"/>
    <mergeCell ref="A4:G4"/>
    <mergeCell ref="A61:F61"/>
    <mergeCell ref="A2:G2"/>
    <mergeCell ref="A15:G15"/>
    <mergeCell ref="A42:G42"/>
    <mergeCell ref="A28:G28"/>
    <mergeCell ref="A59:F59"/>
    <mergeCell ref="A63:G63"/>
    <mergeCell ref="A47:G47"/>
    <mergeCell ref="A5:G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2026-06-14T09:31:26Z</dcterms:created>
  <dcterms:modified xmlns:dcterms="http://purl.org/dc/terms/" xmlns:xsi="http://www.w3.org/2001/XMLSchema-instance" xsi:type="dcterms:W3CDTF">2026-06-14T09:31:26Z</dcterms:modified>
</cp:coreProperties>
</file>